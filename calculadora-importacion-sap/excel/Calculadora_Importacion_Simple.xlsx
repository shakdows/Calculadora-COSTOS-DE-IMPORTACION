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lculador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<sst xmlns="http://schemas.openxmlformats.org/spreadsheetml/2006/main" count="136" uniqueCount="127">
  <si>
    <t xml:space="preserve">🧮 CALCULADORA DE COSTO DE IMPORTACIÓN</t>
  </si>
  <si>
    <t xml:space="preserve">Llena los campos AMARILLOS y obtén el costo automáticamente</t>
  </si>
  <si>
    <t xml:space="preserve">📋 PASO 1 — DATOS DE TU IMPORTACIÓN (de la DUA)</t>
  </si>
  <si>
    <t xml:space="preserve">⬇️ Estos son los TOTALES de toda tu importación. Modifícalos si es una DUA diferente.</t>
  </si>
  <si>
    <t xml:space="preserve">🔑 PALABRA CLAVE</t>
  </si>
  <si>
    <t xml:space="preserve">💵 VALOR</t>
  </si>
  <si>
    <t xml:space="preserve">📏 UNIDAD</t>
  </si>
  <si>
    <t xml:space="preserve">📝 ¿DÓNDE LO ENCUENTRO?</t>
  </si>
  <si>
    <t xml:space="preserve">FOB Total</t>
  </si>
  <si>
    <t xml:space="preserve">US$</t>
  </si>
  <si>
    <t xml:space="preserve">DUA → Casilla 6.1 (FOB/Valor Cláusula venta)</t>
  </si>
  <si>
    <t xml:space="preserve">Flete Internacional</t>
  </si>
  <si>
    <t xml:space="preserve">DUA → Casilla 6.2 (Flete/Comisión Exterior)</t>
  </si>
  <si>
    <t xml:space="preserve">Seguro Internacional</t>
  </si>
  <si>
    <t xml:space="preserve">DUA → Casilla 6.3 (Seguro/Otros Gastos)</t>
  </si>
  <si>
    <t xml:space="preserve">Ad Valorem (impuesto aduana)</t>
  </si>
  <si>
    <t xml:space="preserve">Precio de Entrega → "Aduanas previstas"</t>
  </si>
  <si>
    <t xml:space="preserve">Peso Neto Total</t>
  </si>
  <si>
    <t xml:space="preserve">kg</t>
  </si>
  <si>
    <t xml:space="preserve">DUA → "Total Peso Neto"</t>
  </si>
  <si>
    <t xml:space="preserve">Tipo de Cambio</t>
  </si>
  <si>
    <t xml:space="preserve">PEN/USD</t>
  </si>
  <si>
    <t xml:space="preserve">Precio de Entrega → tipo de cambio (US$)</t>
  </si>
  <si>
    <t xml:space="preserve">💼 PASO 2 — COSTOS FIJOS (Pestaña "Costos" de SAP)</t>
  </si>
  <si>
    <t xml:space="preserve">⬇️ Son los gastos locales adicionales. Modifícalos según tu Pestaña "Costos" en SAP.</t>
  </si>
  <si>
    <t xml:space="preserve">🔑 CONCEPTO</t>
  </si>
  <si>
    <t xml:space="preserve">💵 VALOR (US$)</t>
  </si>
  <si>
    <t xml:space="preserve">🎯 SE DISTRIBUYE POR</t>
  </si>
  <si>
    <t xml:space="preserve">📝 ¿QUÉ ES?</t>
  </si>
  <si>
    <t xml:space="preserve">Agente de aduana</t>
  </si>
  <si>
    <t xml:space="preserve">VALOR (FOB)</t>
  </si>
  <si>
    <t xml:space="preserve">Comisión del agente aduanero</t>
  </si>
  <si>
    <t xml:space="preserve">Almacenaje</t>
  </si>
  <si>
    <t xml:space="preserve">Costo de almacén en puerto</t>
  </si>
  <si>
    <t xml:space="preserve">Gastos de origen</t>
  </si>
  <si>
    <t xml:space="preserve">Gastos en país de origen</t>
  </si>
  <si>
    <t xml:space="preserve">Handling</t>
  </si>
  <si>
    <t xml:space="preserve">Manejo de carga</t>
  </si>
  <si>
    <t xml:space="preserve">Pick up</t>
  </si>
  <si>
    <t xml:space="preserve">Recojo de mercancía</t>
  </si>
  <si>
    <t xml:space="preserve">Transporte local</t>
  </si>
  <si>
    <t xml:space="preserve">Transporte desde puerto hasta almacén</t>
  </si>
  <si>
    <t xml:space="preserve">➕ TOTAL COSTOS FIJOS</t>
  </si>
  <si>
    <t xml:space="preserve">📦 PASO 3 — DATOS DEL PRODUCTO QUE QUIERES CALCULAR</t>
  </si>
  <si>
    <t xml:space="preserve">⬇️ AQUÍ ES DONDE INGRESAS LOS DATOS DEL PRODUCTO QUE QUIERES CALCULAR</t>
  </si>
  <si>
    <t xml:space="preserve">👉 PON AQUÍ</t>
  </si>
  <si>
    <t xml:space="preserve">📝 EXPLICACIÓN</t>
  </si>
  <si>
    <t xml:space="preserve">📍 ¿DÓNDE LO ENCUENTRO?</t>
  </si>
  <si>
    <t xml:space="preserve">CÓDIGO del producto</t>
  </si>
  <si>
    <t xml:space="preserve">0964921CTP</t>
  </si>
  <si>
    <t xml:space="preserve">Ej: 0940580CTP</t>
  </si>
  <si>
    <t xml:space="preserve">Columna "Número de artículo"</t>
  </si>
  <si>
    <t xml:space="preserve">CANTIDAD (unidades)</t>
  </si>
  <si>
    <t xml:space="preserve">¿Cuántas unidades trajiste?</t>
  </si>
  <si>
    <t xml:space="preserve">Columna "Cantidad"</t>
  </si>
  <si>
    <t xml:space="preserve">PESO TOTAL de la línea</t>
  </si>
  <si>
    <t xml:space="preserve">En kg (peso × cantidad)</t>
  </si>
  <si>
    <t xml:space="preserve">Columna "Peso Total"</t>
  </si>
  <si>
    <t xml:space="preserve">FOB UNITARIO (US$)</t>
  </si>
  <si>
    <t xml:space="preserve">Precio que pagaste al proveedor por UNA unidad</t>
  </si>
  <si>
    <t xml:space="preserve">Columna "FOB UNITARIO"</t>
  </si>
  <si>
    <t xml:space="preserve">🧮 PASO 4 — CÁLCULO AUTOMÁTICO (no necesitas tocar nada aquí)</t>
  </si>
  <si>
    <t xml:space="preserve">🔢 PASO</t>
  </si>
  <si>
    <t xml:space="preserve">💵 MONTO</t>
  </si>
  <si>
    <t xml:space="preserve">👤 POR UNIDAD</t>
  </si>
  <si>
    <t xml:space="preserve">📐 FÓRMULA</t>
  </si>
  <si>
    <t xml:space="preserve">1️⃣ FOB Total (lo que pagaste)</t>
  </si>
  <si>
    <t xml:space="preserve">Cantidad × FOB Unitario</t>
  </si>
  <si>
    <t xml:space="preserve">2️⃣ + Flete (se reparte por PESO)</t>
  </si>
  <si>
    <t xml:space="preserve">Peso × (Flete Total ÷ Peso Total importación)</t>
  </si>
  <si>
    <t xml:space="preserve">3️⃣ + Seguro (se reparte por VALOR)</t>
  </si>
  <si>
    <t xml:space="preserve">FOB Línea × (Seguro Total ÷ FOB Total)</t>
  </si>
  <si>
    <t xml:space="preserve">4️⃣ + Gastos en CIF (Agente+Almacenaje+G.Origen)</t>
  </si>
  <si>
    <t xml:space="preserve">FOB Línea × (% sobre FOB total de estos gastos)</t>
  </si>
  <si>
    <t xml:space="preserve">💎 = CIF TOTAL (base para Ad Valorem)</t>
  </si>
  <si>
    <t xml:space="preserve">Suma de pasos 1 + 2 + 3 + 4</t>
  </si>
  <si>
    <t xml:space="preserve">─── Ahora sobre el CIF, se calcula el impuesto y se suman gastos finales ───</t>
  </si>
  <si>
    <t xml:space="preserve">5️⃣ + Ad Valorem (impuesto sobre CIF)</t>
  </si>
  <si>
    <t xml:space="preserve">CIF Línea × (Ad Valorem ÷ CIF Total)</t>
  </si>
  <si>
    <t xml:space="preserve">6️⃣ + Otros gastos finales (Handling+Pickup+Transporte)</t>
  </si>
  <si>
    <t xml:space="preserve">FOB Línea × (% sobre FOB total)</t>
  </si>
  <si>
    <t xml:space="preserve">🎯 RESULTADO FINAL — LO QUE TE COSTÓ IMPORTAR</t>
  </si>
  <si>
    <t xml:space="preserve">💰 PRECIO LIQUIDADO (Costo Total)</t>
  </si>
  <si>
    <t xml:space="preserve">← Total de la línea / Por unidad</t>
  </si>
  <si>
    <t xml:space="preserve">🇵🇪 COSTO EN SOLES</t>
  </si>
  <si>
    <t xml:space="preserve">← En Soles (Precio Liquidado × TC)</t>
  </si>
  <si>
    <t xml:space="preserve">📈 FACTOR (cuántas veces el FOB)</t>
  </si>
  <si>
    <t xml:space="preserve">← Si es 1.50x = el costo final es 1.5 veces lo que pagaste al proveedor</t>
  </si>
  <si>
    <t xml:space="preserve">🏷️ PASO 5 — PRECIOS DE VENTA SUGERIDOS (por unidad)</t>
  </si>
  <si>
    <t xml:space="preserve">⬇️ Diferentes márgenes de ganancia sobre tu costo unitario</t>
  </si>
  <si>
    <t xml:space="preserve">🎯 MARGEN</t>
  </si>
  <si>
    <t xml:space="preserve">💵 VENTA US$</t>
  </si>
  <si>
    <t xml:space="preserve">🇵🇪 VENTA S/. (sin IGV)</t>
  </si>
  <si>
    <t xml:space="preserve">🛒 VENTA S/. (con IGV)</t>
  </si>
  <si>
    <t xml:space="preserve">💚 GANANCIA S/.</t>
  </si>
  <si>
    <t xml:space="preserve">📚 RESUMEN — PALABRAS CLAVE</t>
  </si>
  <si>
    <t xml:space="preserve">🔑 PALABRA</t>
  </si>
  <si>
    <t xml:space="preserve">✨ ¿QUÉ ES?</t>
  </si>
  <si>
    <t xml:space="preserve">📍 ¿DÓNDE LA VES?</t>
  </si>
  <si>
    <t xml:space="preserve">FOB</t>
  </si>
  <si>
    <t xml:space="preserve">Precio que pagaste al proveedor (Free On Board, sin flete ni impuestos)</t>
  </si>
  <si>
    <t xml:space="preserve">Factura del proveedor</t>
  </si>
  <si>
    <t xml:space="preserve">FLETE</t>
  </si>
  <si>
    <t xml:space="preserve">Costo del transporte internacional (barco, avión, etc.)</t>
  </si>
  <si>
    <t xml:space="preserve">DUA casilla 6.2</t>
  </si>
  <si>
    <t xml:space="preserve">SEGURO</t>
  </si>
  <si>
    <t xml:space="preserve">Seguro de la mercadería en tránsito</t>
  </si>
  <si>
    <t xml:space="preserve">DUA casilla 6.3</t>
  </si>
  <si>
    <t xml:space="preserve">CIF</t>
  </si>
  <si>
    <t xml:space="preserve">Costo + Seguro + Flete. Es la base sobre la que se cobra el impuesto.</t>
  </si>
  <si>
    <t xml:space="preserve">DUA casilla 6.5 (Valor Aduana)</t>
  </si>
  <si>
    <t xml:space="preserve">AD VALOREM</t>
  </si>
  <si>
    <t xml:space="preserve">Impuesto de aduana (% sobre el CIF). En tu caso ≈ 2-4%</t>
  </si>
  <si>
    <t xml:space="preserve">Precio de Entrega → Aduanas previstas</t>
  </si>
  <si>
    <t xml:space="preserve">IGV</t>
  </si>
  <si>
    <t xml:space="preserve">Impuesto general a las ventas en Perú = 18%</t>
  </si>
  <si>
    <t xml:space="preserve">Se cobra al vender, no al importar</t>
  </si>
  <si>
    <t xml:space="preserve">PRECIO LIQUIDADO</t>
  </si>
  <si>
    <t xml:space="preserve">COSTO FINAL del producto (FOB + todos los gastos)</t>
  </si>
  <si>
    <t xml:space="preserve">SAP → Precio de Entrega → columna "Precio Liquidado"</t>
  </si>
  <si>
    <t xml:space="preserve">FACTOR</t>
  </si>
  <si>
    <t xml:space="preserve">Cuántas veces se multiplica el FOB para llegar al costo final</t>
  </si>
  <si>
    <t xml:space="preserve">SAP → columna "Factor"</t>
  </si>
  <si>
    <t xml:space="preserve">PRORRATEO</t>
  </si>
  <si>
    <t xml:space="preserve">Reparto de un costo entre todos los productos según un criterio</t>
  </si>
  <si>
    <t xml:space="preserve">"Por peso" o "Por valor" en pestaña Costos</t>
  </si>
  <si>
    <t xml:space="preserve">⚠️ NOTA: Esta calculadora usa la metodología estándar internacional. SAP B1 puede mostrar valores ligeramente diferentes por configuración específica. Para valores oficiales usa siempre el "Precio Liquidado" del sistema.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</si>
</sst>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.00"/>
    <numFmt numFmtId="166" formatCode="\$#,##0.00"/>
    <numFmt numFmtId="167" formatCode="0.0000"/>
    <numFmt numFmtId="168" formatCode="\$#,##0.0000"/>
    <numFmt numFmtId="169" formatCode="&quot;US$ &quot;#,##0.00"/>
    <numFmt numFmtId="170" formatCode="&quot;S/. &quot;#,##0.00"/>
    <numFmt numFmtId="171" formatCode="0.00&quot;x veces&quot;"/>
    <numFmt numFmtId="172" formatCode="0%"/>
  </numFmts>
  <fonts count="3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b val="true"/>
      <i val="true"/>
      <sz val="11"/>
      <color rgb="FF1F4E78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i val="true"/>
      <sz val="11"/>
      <color rgb="FFC00000"/>
      <name val="Arial"/>
      <family val="0"/>
      <charset val="1"/>
    </font>
    <font>
      <b val="true"/>
      <sz val="13"/>
      <color rgb="FFC00000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i val="true"/>
      <sz val="9"/>
      <color rgb="FF1F4E78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b val="true"/>
      <sz val="13"/>
      <color rgb="FF1F4E78"/>
      <name val="Arial"/>
      <family val="0"/>
      <charset val="1"/>
    </font>
    <font>
      <b val="true"/>
      <sz val="14"/>
      <color rgb="FFC00000"/>
      <name val="Arial"/>
      <family val="0"/>
      <charset val="1"/>
    </font>
    <font>
      <i val="true"/>
      <sz val="11"/>
      <color rgb="FF1F4E78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i val="true"/>
      <sz val="11"/>
      <color rgb="FFFFFFFF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b val="true"/>
      <sz val="11"/>
      <color rgb="FF006100"/>
      <name val="Arial"/>
      <family val="0"/>
      <charset val="1"/>
    </font>
    <font>
      <i val="true"/>
      <sz val="10"/>
      <color rgb="FFC00000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FFC000"/>
        <bgColor rgb="FFFF9900"/>
      </patternFill>
    </fill>
    <fill>
      <patternFill patternType="solid">
        <fgColor rgb="FFFFE699"/>
        <bgColor rgb="FFF8CBAD"/>
      </patternFill>
    </fill>
    <fill>
      <patternFill patternType="solid">
        <fgColor rgb="FF70AD47"/>
        <bgColor rgb="FF339966"/>
      </patternFill>
    </fill>
    <fill>
      <patternFill patternType="solid">
        <fgColor rgb="FFF2F2F2"/>
        <bgColor rgb="FFFFFFFF"/>
      </patternFill>
    </fill>
    <fill>
      <patternFill patternType="solid">
        <fgColor rgb="FFC6E0B4"/>
        <bgColor rgb="FFCCFFCC"/>
      </patternFill>
    </fill>
    <fill>
      <patternFill patternType="solid">
        <fgColor rgb="FFF4B084"/>
        <bgColor rgb="FFF8CBAD"/>
      </patternFill>
    </fill>
    <fill>
      <patternFill patternType="solid">
        <fgColor rgb="FFFFFFFF"/>
        <bgColor rgb="FFF2F2F2"/>
      </patternFill>
    </fill>
    <fill>
      <patternFill patternType="solid">
        <fgColor rgb="FFF8CBAD"/>
        <bgColor rgb="FFFFE699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>
        <color rgb="FF1F4E78"/>
      </left>
      <right style="medium">
        <color rgb="FF1F4E78"/>
      </right>
      <top style="medium">
        <color rgb="FF1F4E78"/>
      </top>
      <bottom style="medium">
        <color rgb="FF1F4E78"/>
      </bottom>
      <diagonal/>
    </border>
    <border diagonalUp="false" diagonalDown="false">
      <left style="thin">
        <color rgb="FF808080"/>
      </left>
      <right/>
      <top style="thin">
        <color rgb="FF808080"/>
      </top>
      <bottom style="thin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10" fillId="4" borderId="2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5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6" fontId="14" fillId="2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6" fillId="4" borderId="2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7" fontId="16" fillId="4" borderId="2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8" fontId="17" fillId="7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12" fillId="7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8" fillId="8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6" fontId="18" fillId="8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19" fillId="8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0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8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9" fontId="23" fillId="8" borderId="2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24" fillId="8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5" fillId="9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70" fontId="6" fillId="9" borderId="2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26" fillId="9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7" fillId="7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71" fontId="18" fillId="7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72" fontId="2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7" fillId="0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70" fontId="17" fillId="0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70" fontId="9" fillId="8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70" fontId="29" fillId="0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3" fillId="1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2" fillId="1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3" fillId="7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30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6E0B4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4B084"/>
      <rgbColor rgb="FFCC99FF"/>
      <rgbColor rgb="FFF8CBAD"/>
      <rgbColor rgb="FF2E75B6"/>
      <rgbColor rgb="FF33CCCC"/>
      <rgbColor rgb="FF99CC00"/>
      <rgbColor rgb="FFFFC000"/>
      <rgbColor rgb="FFFF9900"/>
      <rgbColor rgb="FFFF6600"/>
      <rgbColor rgb="FF595959"/>
      <rgbColor rgb="FF70AD47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7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8"/>
    <col collapsed="false" customWidth="true" hidden="false" outlineLevel="0" max="5" min="3" style="0" width="18"/>
    <col collapsed="false" customWidth="true" hidden="false" outlineLevel="0" max="6" min="6" style="0" width="40"/>
    <col collapsed="false" customWidth="true" hidden="false" outlineLevel="0" max="7" min="7" style="0" width="4"/>
  </cols>
  <sheetData>
    <row r="1" customFormat="false" ht="39.75" hidden="false" customHeight="true" outlineLevel="0" collapsed="false">
      <c r="B1" s="1" t="s">
        <v>0</v>
      </c>
      <c r="C1" s="1"/>
      <c r="D1" s="1"/>
      <c r="E1" s="1"/>
      <c r="F1" s="1"/>
    </row>
    <row r="2" customFormat="false" ht="19.5" hidden="false" customHeight="true" outlineLevel="0" collapsed="false">
      <c r="B2" s="2" t="s">
        <v>1</v>
      </c>
      <c r="C2" s="2"/>
      <c r="D2" s="2"/>
      <c r="E2" s="2"/>
      <c r="F2" s="2"/>
    </row>
    <row r="4" customFormat="false" ht="27.75" hidden="false" customHeight="true" outlineLevel="0" collapsed="false">
      <c r="B4" s="3" t="s">
        <v>2</v>
      </c>
      <c r="C4" s="3"/>
      <c r="D4" s="3"/>
      <c r="E4" s="3"/>
      <c r="F4" s="3"/>
    </row>
    <row r="5" customFormat="false" ht="15" hidden="false" customHeight="true" outlineLevel="0" collapsed="false">
      <c r="B5" s="4" t="s">
        <v>3</v>
      </c>
      <c r="C5" s="4"/>
      <c r="D5" s="4"/>
      <c r="E5" s="4"/>
      <c r="F5" s="4"/>
    </row>
    <row r="6" customFormat="false" ht="15" hidden="false" customHeight="true" outlineLevel="0" collapsed="false">
      <c r="B6" s="5" t="s">
        <v>4</v>
      </c>
      <c r="C6" s="5" t="s">
        <v>5</v>
      </c>
      <c r="D6" s="5" t="s">
        <v>6</v>
      </c>
      <c r="E6" s="5"/>
      <c r="F6" s="5" t="s">
        <v>7</v>
      </c>
    </row>
    <row r="7" customFormat="false" ht="15" hidden="false" customHeight="true" outlineLevel="0" collapsed="false">
      <c r="B7" s="6" t="s">
        <v>8</v>
      </c>
      <c r="C7" s="7" t="n">
        <v>5227.9</v>
      </c>
      <c r="D7" s="8" t="s">
        <v>9</v>
      </c>
      <c r="E7" s="8"/>
      <c r="F7" s="9" t="s">
        <v>10</v>
      </c>
    </row>
    <row r="8" customFormat="false" ht="15" hidden="false" customHeight="true" outlineLevel="0" collapsed="false">
      <c r="B8" s="6" t="s">
        <v>11</v>
      </c>
      <c r="C8" s="7" t="n">
        <v>375.5</v>
      </c>
      <c r="D8" s="8" t="s">
        <v>9</v>
      </c>
      <c r="E8" s="8"/>
      <c r="F8" s="9" t="s">
        <v>12</v>
      </c>
    </row>
    <row r="9" customFormat="false" ht="15" hidden="false" customHeight="true" outlineLevel="0" collapsed="false">
      <c r="B9" s="6" t="s">
        <v>13</v>
      </c>
      <c r="C9" s="7" t="n">
        <v>80.11</v>
      </c>
      <c r="D9" s="8" t="s">
        <v>9</v>
      </c>
      <c r="E9" s="8"/>
      <c r="F9" s="9" t="s">
        <v>14</v>
      </c>
    </row>
    <row r="10" customFormat="false" ht="15" hidden="false" customHeight="true" outlineLevel="0" collapsed="false">
      <c r="B10" s="6" t="s">
        <v>15</v>
      </c>
      <c r="C10" s="7" t="n">
        <v>117</v>
      </c>
      <c r="D10" s="8" t="s">
        <v>9</v>
      </c>
      <c r="E10" s="8"/>
      <c r="F10" s="9" t="s">
        <v>16</v>
      </c>
    </row>
    <row r="11" customFormat="false" ht="15" hidden="false" customHeight="true" outlineLevel="0" collapsed="false">
      <c r="B11" s="6" t="s">
        <v>17</v>
      </c>
      <c r="C11" s="7" t="n">
        <v>145.8</v>
      </c>
      <c r="D11" s="8" t="s">
        <v>18</v>
      </c>
      <c r="E11" s="8"/>
      <c r="F11" s="9" t="s">
        <v>19</v>
      </c>
    </row>
    <row r="12" customFormat="false" ht="15" hidden="false" customHeight="true" outlineLevel="0" collapsed="false">
      <c r="B12" s="6" t="s">
        <v>20</v>
      </c>
      <c r="C12" s="7" t="n">
        <v>3.44</v>
      </c>
      <c r="D12" s="8" t="s">
        <v>21</v>
      </c>
      <c r="E12" s="8"/>
      <c r="F12" s="9" t="s">
        <v>22</v>
      </c>
    </row>
    <row r="14" customFormat="false" ht="27.75" hidden="false" customHeight="true" outlineLevel="0" collapsed="false">
      <c r="B14" s="3" t="s">
        <v>23</v>
      </c>
      <c r="C14" s="3"/>
      <c r="D14" s="3"/>
      <c r="E14" s="3"/>
      <c r="F14" s="3"/>
    </row>
    <row r="15" customFormat="false" ht="15" hidden="false" customHeight="true" outlineLevel="0" collapsed="false">
      <c r="B15" s="4" t="s">
        <v>24</v>
      </c>
      <c r="C15" s="4"/>
      <c r="D15" s="4"/>
      <c r="E15" s="4"/>
      <c r="F15" s="4"/>
    </row>
    <row r="16" customFormat="false" ht="15" hidden="false" customHeight="true" outlineLevel="0" collapsed="false">
      <c r="B16" s="5" t="s">
        <v>25</v>
      </c>
      <c r="C16" s="5" t="s">
        <v>26</v>
      </c>
      <c r="D16" s="10" t="s">
        <v>27</v>
      </c>
      <c r="E16" s="10"/>
      <c r="F16" s="5" t="s">
        <v>28</v>
      </c>
    </row>
    <row r="17" customFormat="false" ht="15" hidden="false" customHeight="true" outlineLevel="0" collapsed="false">
      <c r="B17" s="6" t="s">
        <v>29</v>
      </c>
      <c r="C17" s="11" t="n">
        <v>120</v>
      </c>
      <c r="D17" s="12" t="s">
        <v>30</v>
      </c>
      <c r="E17" s="12"/>
      <c r="F17" s="9" t="s">
        <v>31</v>
      </c>
    </row>
    <row r="18" customFormat="false" ht="15" hidden="false" customHeight="true" outlineLevel="0" collapsed="false">
      <c r="B18" s="6" t="s">
        <v>32</v>
      </c>
      <c r="C18" s="11" t="n">
        <v>299.66</v>
      </c>
      <c r="D18" s="12" t="s">
        <v>30</v>
      </c>
      <c r="E18" s="12"/>
      <c r="F18" s="9" t="s">
        <v>33</v>
      </c>
    </row>
    <row r="19" customFormat="false" ht="15" hidden="false" customHeight="true" outlineLevel="0" collapsed="false">
      <c r="B19" s="6" t="s">
        <v>34</v>
      </c>
      <c r="C19" s="11" t="n">
        <v>120</v>
      </c>
      <c r="D19" s="12" t="s">
        <v>30</v>
      </c>
      <c r="E19" s="12"/>
      <c r="F19" s="9" t="s">
        <v>35</v>
      </c>
    </row>
    <row r="20" customFormat="false" ht="15" hidden="false" customHeight="true" outlineLevel="0" collapsed="false">
      <c r="B20" s="6" t="s">
        <v>36</v>
      </c>
      <c r="C20" s="11" t="n">
        <v>50</v>
      </c>
      <c r="D20" s="12" t="s">
        <v>30</v>
      </c>
      <c r="E20" s="12"/>
      <c r="F20" s="9" t="s">
        <v>37</v>
      </c>
    </row>
    <row r="21" customFormat="false" ht="15" hidden="false" customHeight="true" outlineLevel="0" collapsed="false">
      <c r="B21" s="6" t="s">
        <v>38</v>
      </c>
      <c r="C21" s="11" t="n">
        <v>50</v>
      </c>
      <c r="D21" s="12" t="s">
        <v>30</v>
      </c>
      <c r="E21" s="12"/>
      <c r="F21" s="9" t="s">
        <v>39</v>
      </c>
    </row>
    <row r="22" customFormat="false" ht="15" hidden="false" customHeight="true" outlineLevel="0" collapsed="false">
      <c r="B22" s="6" t="s">
        <v>40</v>
      </c>
      <c r="C22" s="11" t="n">
        <v>54.94</v>
      </c>
      <c r="D22" s="12" t="s">
        <v>30</v>
      </c>
      <c r="E22" s="12"/>
      <c r="F22" s="9" t="s">
        <v>41</v>
      </c>
    </row>
    <row r="23" customFormat="false" ht="15" hidden="false" customHeight="false" outlineLevel="0" collapsed="false">
      <c r="B23" s="13" t="s">
        <v>42</v>
      </c>
      <c r="C23" s="14" t="n">
        <f aca="false">SUM(C17:C22)</f>
        <v>694.6</v>
      </c>
      <c r="D23" s="15"/>
      <c r="E23" s="15"/>
      <c r="F23" s="15"/>
    </row>
    <row r="25" customFormat="false" ht="27.75" hidden="false" customHeight="true" outlineLevel="0" collapsed="false">
      <c r="B25" s="16" t="s">
        <v>43</v>
      </c>
      <c r="C25" s="16"/>
      <c r="D25" s="16"/>
      <c r="E25" s="16"/>
      <c r="F25" s="16"/>
    </row>
    <row r="26" customFormat="false" ht="15" hidden="false" customHeight="true" outlineLevel="0" collapsed="false">
      <c r="B26" s="17" t="s">
        <v>44</v>
      </c>
      <c r="C26" s="17"/>
      <c r="D26" s="17"/>
      <c r="E26" s="17"/>
      <c r="F26" s="17"/>
    </row>
    <row r="27" customFormat="false" ht="15" hidden="false" customHeight="true" outlineLevel="0" collapsed="false">
      <c r="B27" s="18" t="s">
        <v>4</v>
      </c>
      <c r="C27" s="18" t="s">
        <v>45</v>
      </c>
      <c r="D27" s="19" t="s">
        <v>46</v>
      </c>
      <c r="E27" s="19"/>
      <c r="F27" s="18" t="s">
        <v>47</v>
      </c>
    </row>
    <row r="28" customFormat="false" ht="21.75" hidden="false" customHeight="true" outlineLevel="0" collapsed="false">
      <c r="B28" s="6" t="s">
        <v>48</v>
      </c>
      <c r="C28" s="20" t="s">
        <v>49</v>
      </c>
      <c r="D28" s="21" t="s">
        <v>50</v>
      </c>
      <c r="E28" s="21"/>
      <c r="F28" s="9" t="s">
        <v>51</v>
      </c>
    </row>
    <row r="29" customFormat="false" ht="21.75" hidden="false" customHeight="true" outlineLevel="0" collapsed="false">
      <c r="B29" s="6" t="s">
        <v>52</v>
      </c>
      <c r="C29" s="22" t="n">
        <v>4</v>
      </c>
      <c r="D29" s="21" t="s">
        <v>53</v>
      </c>
      <c r="E29" s="21"/>
      <c r="F29" s="9" t="s">
        <v>54</v>
      </c>
    </row>
    <row r="30" customFormat="false" ht="21.75" hidden="false" customHeight="true" outlineLevel="0" collapsed="false">
      <c r="B30" s="6" t="s">
        <v>55</v>
      </c>
      <c r="C30" s="23" t="n">
        <v>0.1816</v>
      </c>
      <c r="D30" s="21" t="s">
        <v>56</v>
      </c>
      <c r="E30" s="21"/>
      <c r="F30" s="9" t="s">
        <v>57</v>
      </c>
    </row>
    <row r="31" customFormat="false" ht="21.75" hidden="false" customHeight="true" outlineLevel="0" collapsed="false">
      <c r="B31" s="6" t="s">
        <v>58</v>
      </c>
      <c r="C31" s="23" t="n">
        <v>0.83</v>
      </c>
      <c r="D31" s="21" t="s">
        <v>59</v>
      </c>
      <c r="E31" s="21"/>
      <c r="F31" s="9" t="s">
        <v>60</v>
      </c>
    </row>
    <row r="33" customFormat="false" ht="27.75" hidden="false" customHeight="true" outlineLevel="0" collapsed="false">
      <c r="B33" s="3" t="s">
        <v>61</v>
      </c>
      <c r="C33" s="3"/>
      <c r="D33" s="3"/>
      <c r="E33" s="3"/>
      <c r="F33" s="3"/>
    </row>
    <row r="34" customFormat="false" ht="15" hidden="false" customHeight="true" outlineLevel="0" collapsed="false">
      <c r="B34" s="5" t="s">
        <v>62</v>
      </c>
      <c r="C34" s="5" t="s">
        <v>63</v>
      </c>
      <c r="D34" s="5" t="s">
        <v>64</v>
      </c>
      <c r="E34" s="10" t="s">
        <v>65</v>
      </c>
      <c r="F34" s="10"/>
    </row>
    <row r="35" customFormat="false" ht="15" hidden="false" customHeight="true" outlineLevel="0" collapsed="false">
      <c r="B35" s="24" t="s">
        <v>66</v>
      </c>
      <c r="C35" s="25" t="n">
        <f aca="false">$C$29*$C$31</f>
        <v>3.32</v>
      </c>
      <c r="D35" s="25" t="n">
        <f aca="false">$C$31</f>
        <v>0.83</v>
      </c>
      <c r="E35" s="26" t="s">
        <v>67</v>
      </c>
      <c r="F35" s="26"/>
    </row>
    <row r="36" customFormat="false" ht="15" hidden="false" customHeight="true" outlineLevel="0" collapsed="false">
      <c r="B36" s="24" t="s">
        <v>68</v>
      </c>
      <c r="C36" s="25" t="n">
        <f aca="false">$C$30*($C$8/$C$11)</f>
        <v>0.467700960219479</v>
      </c>
      <c r="D36" s="25" t="n">
        <f aca="false">C36/$C$29</f>
        <v>0.11692524005487</v>
      </c>
      <c r="E36" s="26" t="s">
        <v>69</v>
      </c>
      <c r="F36" s="26"/>
    </row>
    <row r="37" customFormat="false" ht="15" hidden="false" customHeight="true" outlineLevel="0" collapsed="false">
      <c r="B37" s="24" t="s">
        <v>70</v>
      </c>
      <c r="C37" s="25" t="n">
        <f aca="false">$C$35*($C$9/$C$7)</f>
        <v>0.0508741942271275</v>
      </c>
      <c r="D37" s="25" t="n">
        <f aca="false">C37/$C$29</f>
        <v>0.0127185485567819</v>
      </c>
      <c r="E37" s="26" t="s">
        <v>71</v>
      </c>
      <c r="F37" s="26"/>
    </row>
    <row r="38" customFormat="false" ht="26.85" hidden="false" customHeight="true" outlineLevel="0" collapsed="false">
      <c r="B38" s="24" t="s">
        <v>72</v>
      </c>
      <c r="C38" s="25" t="n">
        <f aca="false">$C$35*(($C$17+$C$18+$C$19)/$C$7)</f>
        <v>0.342713364831003</v>
      </c>
      <c r="D38" s="25" t="n">
        <f aca="false">C38/$C$29</f>
        <v>0.0856783412077507</v>
      </c>
      <c r="E38" s="26" t="s">
        <v>73</v>
      </c>
      <c r="F38" s="26"/>
    </row>
    <row r="39" customFormat="false" ht="26.85" hidden="false" customHeight="true" outlineLevel="0" collapsed="false">
      <c r="B39" s="27" t="s">
        <v>74</v>
      </c>
      <c r="C39" s="28" t="n">
        <f aca="false">$C$35+$C$36+$C$37+$C$38</f>
        <v>4.18128851927761</v>
      </c>
      <c r="D39" s="28" t="n">
        <f aca="false">C39/$C$29</f>
        <v>1.0453221298194</v>
      </c>
      <c r="E39" s="29" t="s">
        <v>75</v>
      </c>
      <c r="F39" s="29"/>
    </row>
    <row r="40" customFormat="false" ht="15" hidden="false" customHeight="true" outlineLevel="0" collapsed="false">
      <c r="B40" s="30" t="s">
        <v>76</v>
      </c>
      <c r="C40" s="30"/>
      <c r="D40" s="30"/>
      <c r="E40" s="30"/>
      <c r="F40" s="30"/>
    </row>
    <row r="41" customFormat="false" ht="26.85" hidden="false" customHeight="true" outlineLevel="0" collapsed="false">
      <c r="B41" s="24" t="s">
        <v>77</v>
      </c>
      <c r="C41" s="25" t="n">
        <f aca="false">$C$39*($C$10/(($C$7+$C$8+$C$9)))</f>
        <v>0.0860754633589948</v>
      </c>
      <c r="D41" s="25" t="n">
        <f aca="false">C41/$C$29</f>
        <v>0.0215188658397487</v>
      </c>
      <c r="E41" s="26" t="s">
        <v>78</v>
      </c>
      <c r="F41" s="26"/>
    </row>
    <row r="42" customFormat="false" ht="26.85" hidden="false" customHeight="true" outlineLevel="0" collapsed="false">
      <c r="B42" s="24" t="s">
        <v>79</v>
      </c>
      <c r="C42" s="25" t="n">
        <f aca="false">$C$35*(($C$20+$C$21+$C$22)/$C$7)</f>
        <v>0.0983953021289619</v>
      </c>
      <c r="D42" s="25" t="n">
        <f aca="false">C42/$C$29</f>
        <v>0.0245988255322405</v>
      </c>
      <c r="E42" s="26" t="s">
        <v>80</v>
      </c>
      <c r="F42" s="26"/>
    </row>
    <row r="44" customFormat="false" ht="31.5" hidden="false" customHeight="true" outlineLevel="0" collapsed="false">
      <c r="B44" s="31" t="s">
        <v>81</v>
      </c>
      <c r="C44" s="31"/>
      <c r="D44" s="31"/>
      <c r="E44" s="31"/>
      <c r="F44" s="31"/>
    </row>
    <row r="45" customFormat="false" ht="30" hidden="false" customHeight="true" outlineLevel="0" collapsed="false">
      <c r="B45" s="32" t="s">
        <v>82</v>
      </c>
      <c r="C45" s="33" t="n">
        <f aca="false">$C$39+$C$41+$C$42</f>
        <v>4.36575928476557</v>
      </c>
      <c r="D45" s="33" t="n">
        <f aca="false">C45/$C$29</f>
        <v>1.09143982119139</v>
      </c>
      <c r="E45" s="34" t="s">
        <v>83</v>
      </c>
      <c r="F45" s="34"/>
    </row>
    <row r="46" customFormat="false" ht="30" hidden="false" customHeight="true" outlineLevel="0" collapsed="false">
      <c r="B46" s="35" t="s">
        <v>84</v>
      </c>
      <c r="C46" s="36" t="n">
        <f aca="false">$C$45*$C$12</f>
        <v>15.0182119395935</v>
      </c>
      <c r="D46" s="36" t="n">
        <f aca="false">$D$45*$C$12</f>
        <v>3.75455298489839</v>
      </c>
      <c r="E46" s="37" t="s">
        <v>85</v>
      </c>
      <c r="F46" s="37"/>
    </row>
    <row r="47" customFormat="false" ht="15" hidden="false" customHeight="true" outlineLevel="0" collapsed="false">
      <c r="B47" s="38" t="s">
        <v>86</v>
      </c>
      <c r="C47" s="39" t="n">
        <f aca="false">$C$45/$C$35</f>
        <v>1.31498773637517</v>
      </c>
      <c r="D47" s="40" t="s">
        <v>87</v>
      </c>
      <c r="E47" s="40"/>
      <c r="F47" s="40"/>
    </row>
    <row r="49" customFormat="false" ht="27.75" hidden="false" customHeight="true" outlineLevel="0" collapsed="false">
      <c r="B49" s="16" t="s">
        <v>88</v>
      </c>
      <c r="C49" s="16"/>
      <c r="D49" s="16"/>
      <c r="E49" s="16"/>
      <c r="F49" s="16"/>
    </row>
    <row r="50" customFormat="false" ht="15" hidden="false" customHeight="true" outlineLevel="0" collapsed="false">
      <c r="B50" s="4" t="s">
        <v>89</v>
      </c>
      <c r="C50" s="4"/>
      <c r="D50" s="4"/>
      <c r="E50" s="4"/>
      <c r="F50" s="4"/>
    </row>
    <row r="51" customFormat="false" ht="26.85" hidden="false" customHeight="false" outlineLevel="0" collapsed="false">
      <c r="B51" s="5" t="s">
        <v>90</v>
      </c>
      <c r="C51" s="5" t="s">
        <v>91</v>
      </c>
      <c r="D51" s="5" t="s">
        <v>92</v>
      </c>
      <c r="E51" s="5" t="s">
        <v>93</v>
      </c>
      <c r="F51" s="5" t="s">
        <v>94</v>
      </c>
    </row>
    <row r="52" customFormat="false" ht="15" hidden="false" customHeight="false" outlineLevel="0" collapsed="false">
      <c r="B52" s="41" t="n">
        <v>0.2</v>
      </c>
      <c r="C52" s="42" t="n">
        <f aca="false">$D$45*(1+B52)</f>
        <v>1.30972778542967</v>
      </c>
      <c r="D52" s="43" t="n">
        <f aca="false">C52*$C$12</f>
        <v>4.50546358187806</v>
      </c>
      <c r="E52" s="44" t="n">
        <f aca="false">D52*1.18</f>
        <v>5.31644702661612</v>
      </c>
      <c r="F52" s="45" t="n">
        <f aca="false">D52-$D$46</f>
        <v>0.750910596979677</v>
      </c>
    </row>
    <row r="53" customFormat="false" ht="15" hidden="false" customHeight="false" outlineLevel="0" collapsed="false">
      <c r="B53" s="41" t="n">
        <v>0.3</v>
      </c>
      <c r="C53" s="42" t="n">
        <f aca="false">$D$45*(1+B53)</f>
        <v>1.41887176754881</v>
      </c>
      <c r="D53" s="43" t="n">
        <f aca="false">C53*$C$12</f>
        <v>4.8809188803679</v>
      </c>
      <c r="E53" s="44" t="n">
        <f aca="false">D53*1.18</f>
        <v>5.75948427883412</v>
      </c>
      <c r="F53" s="45" t="n">
        <f aca="false">D53-$D$46</f>
        <v>1.12636589546952</v>
      </c>
    </row>
    <row r="54" customFormat="false" ht="15" hidden="false" customHeight="false" outlineLevel="0" collapsed="false">
      <c r="B54" s="41" t="n">
        <v>0.4</v>
      </c>
      <c r="C54" s="42" t="n">
        <f aca="false">$D$45*(1+B54)</f>
        <v>1.52801574966795</v>
      </c>
      <c r="D54" s="43" t="n">
        <f aca="false">C54*$C$12</f>
        <v>5.25637417885774</v>
      </c>
      <c r="E54" s="44" t="n">
        <f aca="false">D54*1.18</f>
        <v>6.20252153105213</v>
      </c>
      <c r="F54" s="45" t="n">
        <f aca="false">D54-$D$46</f>
        <v>1.50182119395935</v>
      </c>
    </row>
    <row r="55" customFormat="false" ht="15" hidden="false" customHeight="false" outlineLevel="0" collapsed="false">
      <c r="B55" s="41" t="n">
        <v>0.5</v>
      </c>
      <c r="C55" s="42" t="n">
        <f aca="false">$D$45*(1+B55)</f>
        <v>1.63715973178709</v>
      </c>
      <c r="D55" s="43" t="n">
        <f aca="false">C55*$C$12</f>
        <v>5.63182947734758</v>
      </c>
      <c r="E55" s="44" t="n">
        <f aca="false">D55*1.18</f>
        <v>6.64555878327014</v>
      </c>
      <c r="F55" s="45" t="n">
        <f aca="false">D55-$D$46</f>
        <v>1.87727649244919</v>
      </c>
    </row>
    <row r="56" customFormat="false" ht="15" hidden="false" customHeight="false" outlineLevel="0" collapsed="false">
      <c r="B56" s="41" t="n">
        <v>0.7</v>
      </c>
      <c r="C56" s="42" t="n">
        <f aca="false">$D$45*(1+B56)</f>
        <v>1.85544769602537</v>
      </c>
      <c r="D56" s="43" t="n">
        <f aca="false">C56*$C$12</f>
        <v>6.38274007432726</v>
      </c>
      <c r="E56" s="44" t="n">
        <f aca="false">D56*1.18</f>
        <v>7.53163328770616</v>
      </c>
      <c r="F56" s="45" t="n">
        <f aca="false">D56-$D$46</f>
        <v>2.62818708942887</v>
      </c>
    </row>
    <row r="57" customFormat="false" ht="15" hidden="false" customHeight="false" outlineLevel="0" collapsed="false">
      <c r="B57" s="41" t="n">
        <v>1</v>
      </c>
      <c r="C57" s="42" t="n">
        <f aca="false">$D$45*(1+B57)</f>
        <v>2.18287964238278</v>
      </c>
      <c r="D57" s="43" t="n">
        <f aca="false">C57*$C$12</f>
        <v>7.50910596979677</v>
      </c>
      <c r="E57" s="44" t="n">
        <f aca="false">D57*1.18</f>
        <v>8.86074504436019</v>
      </c>
      <c r="F57" s="45" t="n">
        <f aca="false">D57-$D$46</f>
        <v>3.75455298489839</v>
      </c>
    </row>
    <row r="58" customFormat="false" ht="15" hidden="false" customHeight="false" outlineLevel="0" collapsed="false">
      <c r="B58" s="41" t="n">
        <v>1.5</v>
      </c>
      <c r="C58" s="42" t="n">
        <f aca="false">$D$45*(1+B58)</f>
        <v>2.72859955297848</v>
      </c>
      <c r="D58" s="43" t="n">
        <f aca="false">C58*$C$12</f>
        <v>9.38638246224597</v>
      </c>
      <c r="E58" s="44" t="n">
        <f aca="false">D58*1.18</f>
        <v>11.0759313054502</v>
      </c>
      <c r="F58" s="45" t="n">
        <f aca="false">D58-$D$46</f>
        <v>5.63182947734758</v>
      </c>
    </row>
    <row r="61" customFormat="false" ht="27.75" hidden="false" customHeight="true" outlineLevel="0" collapsed="false">
      <c r="B61" s="46" t="s">
        <v>95</v>
      </c>
      <c r="C61" s="46"/>
      <c r="D61" s="46"/>
      <c r="E61" s="46"/>
      <c r="F61" s="46"/>
    </row>
    <row r="62" customFormat="false" ht="27.75" hidden="false" customHeight="true" outlineLevel="0" collapsed="false">
      <c r="B62" s="47" t="s">
        <v>96</v>
      </c>
      <c r="C62" s="47" t="s">
        <v>97</v>
      </c>
      <c r="D62" s="47"/>
      <c r="E62" s="47"/>
      <c r="F62" s="47" t="s">
        <v>98</v>
      </c>
    </row>
    <row r="63" customFormat="false" ht="24" hidden="false" customHeight="true" outlineLevel="0" collapsed="false">
      <c r="B63" s="48" t="s">
        <v>99</v>
      </c>
      <c r="C63" s="49" t="s">
        <v>100</v>
      </c>
      <c r="D63" s="49"/>
      <c r="E63" s="49"/>
      <c r="F63" s="50" t="s">
        <v>101</v>
      </c>
    </row>
    <row r="64" customFormat="false" ht="24" hidden="false" customHeight="true" outlineLevel="0" collapsed="false">
      <c r="B64" s="24" t="s">
        <v>102</v>
      </c>
      <c r="C64" s="51" t="s">
        <v>103</v>
      </c>
      <c r="D64" s="51"/>
      <c r="E64" s="51"/>
      <c r="F64" s="26" t="s">
        <v>104</v>
      </c>
    </row>
    <row r="65" customFormat="false" ht="24" hidden="false" customHeight="true" outlineLevel="0" collapsed="false">
      <c r="B65" s="48" t="s">
        <v>105</v>
      </c>
      <c r="C65" s="49" t="s">
        <v>106</v>
      </c>
      <c r="D65" s="49"/>
      <c r="E65" s="49"/>
      <c r="F65" s="50" t="s">
        <v>107</v>
      </c>
    </row>
    <row r="66" customFormat="false" ht="24" hidden="false" customHeight="true" outlineLevel="0" collapsed="false">
      <c r="B66" s="24" t="s">
        <v>108</v>
      </c>
      <c r="C66" s="51" t="s">
        <v>109</v>
      </c>
      <c r="D66" s="51"/>
      <c r="E66" s="51"/>
      <c r="F66" s="26" t="s">
        <v>110</v>
      </c>
    </row>
    <row r="67" customFormat="false" ht="24" hidden="false" customHeight="true" outlineLevel="0" collapsed="false">
      <c r="B67" s="48" t="s">
        <v>111</v>
      </c>
      <c r="C67" s="49" t="s">
        <v>112</v>
      </c>
      <c r="D67" s="49"/>
      <c r="E67" s="49"/>
      <c r="F67" s="50" t="s">
        <v>113</v>
      </c>
    </row>
    <row r="68" customFormat="false" ht="24" hidden="false" customHeight="true" outlineLevel="0" collapsed="false">
      <c r="B68" s="24" t="s">
        <v>114</v>
      </c>
      <c r="C68" s="51" t="s">
        <v>115</v>
      </c>
      <c r="D68" s="51"/>
      <c r="E68" s="51"/>
      <c r="F68" s="26" t="s">
        <v>116</v>
      </c>
    </row>
    <row r="69" customFormat="false" ht="24" hidden="false" customHeight="true" outlineLevel="0" collapsed="false">
      <c r="B69" s="48" t="s">
        <v>117</v>
      </c>
      <c r="C69" s="49" t="s">
        <v>118</v>
      </c>
      <c r="D69" s="49"/>
      <c r="E69" s="49"/>
      <c r="F69" s="50" t="s">
        <v>119</v>
      </c>
    </row>
    <row r="70" customFormat="false" ht="24" hidden="false" customHeight="true" outlineLevel="0" collapsed="false">
      <c r="B70" s="24" t="s">
        <v>120</v>
      </c>
      <c r="C70" s="51" t="s">
        <v>121</v>
      </c>
      <c r="D70" s="51"/>
      <c r="E70" s="51"/>
      <c r="F70" s="26" t="s">
        <v>122</v>
      </c>
    </row>
    <row r="71" customFormat="false" ht="24" hidden="false" customHeight="true" outlineLevel="0" collapsed="false">
      <c r="B71" s="48" t="s">
        <v>123</v>
      </c>
      <c r="C71" s="49" t="s">
        <v>124</v>
      </c>
      <c r="D71" s="49"/>
      <c r="E71" s="49"/>
      <c r="F71" s="50" t="s">
        <v>125</v>
      </c>
    </row>
    <row r="73" customFormat="false" ht="34.5" hidden="false" customHeight="true" outlineLevel="0" collapsed="false">
      <c r="B73" s="52" t="s">
        <v>126</v>
      </c>
      <c r="C73" s="52"/>
      <c r="D73" s="52"/>
      <c r="E73" s="52"/>
      <c r="F73" s="52"/>
    </row>
  </sheetData>
  <mergeCells count="56">
    <mergeCell ref="B1:F1"/>
    <mergeCell ref="B2:F2"/>
    <mergeCell ref="B4:F4"/>
    <mergeCell ref="B5:F5"/>
    <mergeCell ref="D6:E6"/>
    <mergeCell ref="D7:E7"/>
    <mergeCell ref="D8:E8"/>
    <mergeCell ref="D9:E9"/>
    <mergeCell ref="D10:E10"/>
    <mergeCell ref="D11:E11"/>
    <mergeCell ref="D12:E12"/>
    <mergeCell ref="B14:F14"/>
    <mergeCell ref="B15:F15"/>
    <mergeCell ref="D16:E16"/>
    <mergeCell ref="D17:E17"/>
    <mergeCell ref="D18:E18"/>
    <mergeCell ref="D19:E19"/>
    <mergeCell ref="D20:E20"/>
    <mergeCell ref="D21:E21"/>
    <mergeCell ref="D22:E22"/>
    <mergeCell ref="D23:F23"/>
    <mergeCell ref="B25:F25"/>
    <mergeCell ref="B26:F26"/>
    <mergeCell ref="D27:E27"/>
    <mergeCell ref="D28:E28"/>
    <mergeCell ref="D29:E29"/>
    <mergeCell ref="D30:E30"/>
    <mergeCell ref="D31:E31"/>
    <mergeCell ref="B33:F33"/>
    <mergeCell ref="E34:F34"/>
    <mergeCell ref="E35:F35"/>
    <mergeCell ref="E36:F36"/>
    <mergeCell ref="E37:F37"/>
    <mergeCell ref="E38:F38"/>
    <mergeCell ref="E39:F39"/>
    <mergeCell ref="B40:F40"/>
    <mergeCell ref="E41:F41"/>
    <mergeCell ref="E42:F42"/>
    <mergeCell ref="B44:F44"/>
    <mergeCell ref="E45:F45"/>
    <mergeCell ref="E46:F46"/>
    <mergeCell ref="D47:F47"/>
    <mergeCell ref="B49:F49"/>
    <mergeCell ref="B50:F50"/>
    <mergeCell ref="B61:F61"/>
    <mergeCell ref="C62:E62"/>
    <mergeCell ref="C63:E63"/>
    <mergeCell ref="C64:E64"/>
    <mergeCell ref="C65:E65"/>
    <mergeCell ref="C66:E66"/>
    <mergeCell ref="C67:E67"/>
    <mergeCell ref="C68:E68"/>
    <mergeCell ref="C69:E69"/>
    <mergeCell ref="C70:E70"/>
    <mergeCell ref="C71:E71"/>
    <mergeCell ref="B73:F7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2026-05-27T22:16:50Z</dcterms:created>
  <dc:creator>openpyxl</dc:creator>
  <dc:description/>
  <dc:language>en-US</dc:language>
  <cp:lastModifiedBy/>
  <dcterms:modified xsi:type="dcterms:W3CDTF">2026-05-27T22:16:50Z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